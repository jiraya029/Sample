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Cost Estim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<sst xmlns="http://schemas.openxmlformats.org/spreadsheetml/2006/main" count="47" uniqueCount="47">
  <si>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Production Deployment — Monthly Cost Estimate</t>
  </si>
  <si>
    <t xml:space="preserve">All figures in USD. Blue = editable input. Green = free at this scale. Black bold = automatic total.</t>
  </si>
  <si>
    <t xml:space="preserve">1. Your usage — change these two numbers</t>
  </si>
  <si>
    <t xml:space="preserve">Chat sessions per month</t>
  </si>
  <si>
    <t xml:space="preserve">How many complete trainee sessions run in a month</t>
  </si>
  <si>
    <t xml:space="preserve">Tokens used per session (input + output combined)</t>
  </si>
  <si>
    <t xml:space="preserve">Rough size of one session's conversation + score call</t>
  </si>
  <si>
    <t xml:space="preserve">  → split automatically: ~92% input tokens, ~8% output tokens</t>
  </si>
  <si>
    <t xml:space="preserve">2. Monthly cost, grouped</t>
  </si>
  <si>
    <t xml:space="preserve">Item</t>
  </si>
  <si>
    <t xml:space="preserve">Cost / month</t>
  </si>
  <si>
    <t xml:space="preserve">What it's for</t>
  </si>
  <si>
    <t xml:space="preserve">AI usage</t>
  </si>
  <si>
    <t xml:space="preserve">Gemini API — Gemini 3.1 Pro</t>
  </si>
  <si>
    <t xml:space="preserve">Runs the AI client persona and writes the end-of-session score report</t>
  </si>
  <si>
    <t xml:space="preserve">AI subtotal</t>
  </si>
  <si>
    <t xml:space="preserve">Core infrastructure (always billed)</t>
  </si>
  <si>
    <t xml:space="preserve">Production server (Vercel Pro or Render Standard)</t>
  </si>
  <si>
    <t xml:space="preserve">Keeps the app running 24/7; needed since free/Hobby tiers exclude business use</t>
  </si>
  <si>
    <t xml:space="preserve">Production database (Neon Launch)</t>
  </si>
  <si>
    <t xml:space="preserve">Usage-based Postgres with backups included</t>
  </si>
  <si>
    <t xml:space="preserve">Domain (yearly cost shown per month)</t>
  </si>
  <si>
    <t xml:space="preserve">~$9.50/year at-cost registration, split across 12 months for this total</t>
  </si>
  <si>
    <t xml:space="preserve">Infrastructure subtotal</t>
  </si>
  <si>
    <t xml:space="preserve">Safety, monitoring &amp; extras (free at this scale)</t>
  </si>
  <si>
    <t xml:space="preserve">Domain &amp; DNS protection (Cloudflare)</t>
  </si>
  <si>
    <t xml:space="preserve">DNS hosting + basic DDoS/firewall protection</t>
  </si>
  <si>
    <t xml:space="preserve">Uptime monitoring</t>
  </si>
  <si>
    <t xml:space="preserve">Alerts you if the site goes down; upgrade only for SMS/phone alerts</t>
  </si>
  <si>
    <t xml:space="preserve">Error tracking (Sentry)</t>
  </si>
  <si>
    <t xml:space="preserve">Flags crashes and bugs automatically</t>
  </si>
  <si>
    <t xml:space="preserve">Spam / abuse protection</t>
  </si>
  <si>
    <t xml:space="preserve">Blocks scripts from hammering the login or chat endpoints</t>
  </si>
  <si>
    <t xml:space="preserve">SSL certificate (the padlock/https)</t>
  </si>
  <si>
    <t xml:space="preserve">Issued and renewed automatically by the host</t>
  </si>
  <si>
    <t xml:space="preserve">Auto-deploy pipeline</t>
  </si>
  <si>
    <t xml:space="preserve">Publishes updates automatically when you push new code</t>
  </si>
  <si>
    <t xml:space="preserve">Secure storage for API keys/passwords</t>
  </si>
  <si>
    <t xml:space="preserve">Built into the hosting platform's dashboard</t>
  </si>
  <si>
    <t xml:space="preserve">Extras subtotal</t>
  </si>
  <si>
    <t xml:space="preserve">Estimated monthly total</t>
  </si>
  <si>
    <t xml:space="preserve">3. Good to know</t>
  </si>
  <si>
    <t xml:space="preserve">• Change the two blue numbers in Section 1 to your real trainee count — everything recalculates, including the big number at the top.</t>
  </si>
  <si>
    <t xml:space="preserve">• Gemini 3.1 Pro costs more per use than lighter models, but tends to give clearer, more useful feedback in the score report.</t>
  </si>
  <si>
    <t xml:space="preserve">• Green rows are free at normal usage levels — they'd only start costing money at very high traffic or if you want extra features like SMS alerts.</t>
  </si>
  <si>
    <t xml:space="preserve">• The domain is actually paid once a year, not monthly — it's divided by 12 here just so it fits cleanly into one monthly number.</t>
  </si>
  <si>
    <t xml:space="preserve">• This is a planning estimate, not a vendor invoice — double check current prices on each provider's site before budgeting for real.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</si>
</sst>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;&quot;($&quot;#,##0.0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color rgb="FF1E7A3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CE6F1"/>
        <bgColor rgb="FFE2EFDA"/>
      </patternFill>
    </fill>
    <fill>
      <patternFill patternType="solid">
        <fgColor rgb="FFF7F7F7"/>
        <bgColor rgb="FFFFFFFF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7F7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14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5.75" hidden="false" customHeight="true" outlineLevel="0" collapsed="false">
      <c r="A2" s="3" t="s">
        <v>1</v>
      </c>
      <c r="B2" s="3"/>
      <c r="C2" s="3"/>
      <c r="D2" s="3"/>
    </row>
    <row r="4" customFormat="false" ht="21.75" hidden="false" customHeight="true" outlineLevel="0" collapsed="false">
      <c r="A4" s="4" t="str">
        <f aca="false">"Estimated monthly total:  $"&amp;TEXT(B34,"#,##0")</f>
        <v>Estimated monthly total:  $150</v>
      </c>
      <c r="B4" s="4"/>
      <c r="C4" s="4"/>
      <c r="D4" s="4"/>
    </row>
    <row r="5" customFormat="false" ht="25.5" hidden="false" customHeight="true" outlineLevel="0" collapsed="false">
      <c r="A5" s="4"/>
      <c r="B5" s="4"/>
      <c r="C5" s="4"/>
      <c r="D5" s="4"/>
    </row>
    <row r="7" customFormat="false" ht="15" hidden="false" customHeight="true" outlineLevel="0" collapsed="false">
      <c r="A7" s="5" t="s">
        <v>2</v>
      </c>
    </row>
    <row r="8" customFormat="false" ht="24" hidden="false" customHeight="true" outlineLevel="0" collapsed="false">
      <c r="A8" s="6" t="s">
        <v>3</v>
      </c>
      <c r="B8" s="7" t="n">
        <v>3000</v>
      </c>
      <c r="C8" s="8" t="s">
        <v>4</v>
      </c>
      <c r="D8" s="8"/>
    </row>
    <row r="9" customFormat="false" ht="24" hidden="false" customHeight="true" outlineLevel="0" collapsed="false">
      <c r="A9" s="6" t="s">
        <v>5</v>
      </c>
      <c r="B9" s="7" t="n">
        <v>13000</v>
      </c>
      <c r="C9" s="8" t="s">
        <v>6</v>
      </c>
      <c r="D9" s="8"/>
    </row>
    <row r="10" customFormat="false" ht="13.5" hidden="false" customHeight="true" outlineLevel="0" collapsed="false">
      <c r="A10" s="3" t="s">
        <v>7</v>
      </c>
      <c r="B10" s="3"/>
      <c r="C10" s="3"/>
      <c r="D10" s="3"/>
    </row>
    <row r="12" customFormat="false" ht="15" hidden="false" customHeight="true" outlineLevel="0" collapsed="false">
      <c r="A12" s="5" t="s">
        <v>8</v>
      </c>
    </row>
    <row r="13" customFormat="false" ht="19.5" hidden="false" customHeight="true" outlineLevel="0" collapsed="false">
      <c r="A13" s="9" t="s">
        <v>9</v>
      </c>
      <c r="B13" s="10" t="s">
        <v>10</v>
      </c>
      <c r="C13" s="9" t="s">
        <v>11</v>
      </c>
      <c r="D13" s="9"/>
    </row>
    <row r="14" customFormat="false" ht="19.5" hidden="false" customHeight="true" outlineLevel="0" collapsed="false">
      <c r="A14" s="11" t="s">
        <v>12</v>
      </c>
      <c r="B14" s="11"/>
      <c r="C14" s="11"/>
      <c r="D14" s="11"/>
    </row>
    <row r="15" customFormat="false" ht="27.75" hidden="false" customHeight="true" outlineLevel="0" collapsed="false">
      <c r="A15" s="6" t="s">
        <v>13</v>
      </c>
      <c r="B15" s="12" t="n">
        <f aca="false">$B$8*$B$9*0.92/1000000*2+$B$8*$B$9*0.08/1000000*12</f>
        <v>109.2</v>
      </c>
      <c r="C15" s="13" t="s">
        <v>14</v>
      </c>
      <c r="D15" s="13"/>
    </row>
    <row r="16" customFormat="false" ht="18" hidden="false" customHeight="true" outlineLevel="0" collapsed="false">
      <c r="A16" s="14" t="s">
        <v>15</v>
      </c>
      <c r="B16" s="15" t="n">
        <f aca="false">SUM(B15:B15)</f>
        <v>109.2</v>
      </c>
      <c r="C16" s="16"/>
      <c r="D16" s="16"/>
    </row>
    <row r="18" customFormat="false" ht="19.5" hidden="false" customHeight="true" outlineLevel="0" collapsed="false">
      <c r="A18" s="11" t="s">
        <v>16</v>
      </c>
      <c r="B18" s="11"/>
      <c r="C18" s="11"/>
      <c r="D18" s="11"/>
    </row>
    <row r="19" customFormat="false" ht="27.75" hidden="false" customHeight="true" outlineLevel="0" collapsed="false">
      <c r="A19" s="6" t="s">
        <v>17</v>
      </c>
      <c r="B19" s="17" t="n">
        <v>25</v>
      </c>
      <c r="C19" s="13" t="s">
        <v>18</v>
      </c>
      <c r="D19" s="13"/>
    </row>
    <row r="20" customFormat="false" ht="27.75" hidden="false" customHeight="true" outlineLevel="0" collapsed="false">
      <c r="A20" s="6" t="s">
        <v>19</v>
      </c>
      <c r="B20" s="17" t="n">
        <v>15</v>
      </c>
      <c r="C20" s="13" t="s">
        <v>20</v>
      </c>
      <c r="D20" s="13"/>
    </row>
    <row r="21" customFormat="false" ht="27.75" hidden="false" customHeight="true" outlineLevel="0" collapsed="false">
      <c r="A21" s="6" t="s">
        <v>21</v>
      </c>
      <c r="B21" s="12" t="n">
        <f aca="false">9.5/12</f>
        <v>0.791666666666667</v>
      </c>
      <c r="C21" s="13" t="s">
        <v>22</v>
      </c>
      <c r="D21" s="13"/>
    </row>
    <row r="22" customFormat="false" ht="18" hidden="false" customHeight="true" outlineLevel="0" collapsed="false">
      <c r="A22" s="14" t="s">
        <v>23</v>
      </c>
      <c r="B22" s="15" t="n">
        <f aca="false">SUM(B19:B21)</f>
        <v>40.7916666666667</v>
      </c>
      <c r="C22" s="16"/>
      <c r="D22" s="16"/>
    </row>
    <row r="24" customFormat="false" ht="19.5" hidden="false" customHeight="true" outlineLevel="0" collapsed="false">
      <c r="A24" s="11" t="s">
        <v>24</v>
      </c>
      <c r="B24" s="11"/>
      <c r="C24" s="11"/>
      <c r="D24" s="11"/>
    </row>
    <row r="25" customFormat="false" ht="27.75" hidden="false" customHeight="true" outlineLevel="0" collapsed="false">
      <c r="A25" s="6" t="s">
        <v>25</v>
      </c>
      <c r="B25" s="18" t="n">
        <v>0</v>
      </c>
      <c r="C25" s="13" t="s">
        <v>26</v>
      </c>
      <c r="D25" s="13"/>
    </row>
    <row r="26" customFormat="false" ht="27.75" hidden="false" customHeight="true" outlineLevel="0" collapsed="false">
      <c r="A26" s="6" t="s">
        <v>27</v>
      </c>
      <c r="B26" s="18" t="n">
        <v>0</v>
      </c>
      <c r="C26" s="13" t="s">
        <v>28</v>
      </c>
      <c r="D26" s="13"/>
    </row>
    <row r="27" customFormat="false" ht="27.75" hidden="false" customHeight="true" outlineLevel="0" collapsed="false">
      <c r="A27" s="6" t="s">
        <v>29</v>
      </c>
      <c r="B27" s="18" t="n">
        <v>0</v>
      </c>
      <c r="C27" s="13" t="s">
        <v>30</v>
      </c>
      <c r="D27" s="13"/>
    </row>
    <row r="28" customFormat="false" ht="27.75" hidden="false" customHeight="true" outlineLevel="0" collapsed="false">
      <c r="A28" s="6" t="s">
        <v>31</v>
      </c>
      <c r="B28" s="18" t="n">
        <v>0</v>
      </c>
      <c r="C28" s="13" t="s">
        <v>32</v>
      </c>
      <c r="D28" s="13"/>
    </row>
    <row r="29" customFormat="false" ht="27.75" hidden="false" customHeight="true" outlineLevel="0" collapsed="false">
      <c r="A29" s="6" t="s">
        <v>33</v>
      </c>
      <c r="B29" s="18" t="n">
        <v>0</v>
      </c>
      <c r="C29" s="13" t="s">
        <v>34</v>
      </c>
      <c r="D29" s="13"/>
    </row>
    <row r="30" customFormat="false" ht="27.75" hidden="false" customHeight="true" outlineLevel="0" collapsed="false">
      <c r="A30" s="6" t="s">
        <v>35</v>
      </c>
      <c r="B30" s="18" t="n">
        <v>0</v>
      </c>
      <c r="C30" s="13" t="s">
        <v>36</v>
      </c>
      <c r="D30" s="13"/>
    </row>
    <row r="31" customFormat="false" ht="27.75" hidden="false" customHeight="true" outlineLevel="0" collapsed="false">
      <c r="A31" s="6" t="s">
        <v>37</v>
      </c>
      <c r="B31" s="18" t="n">
        <v>0</v>
      </c>
      <c r="C31" s="13" t="s">
        <v>38</v>
      </c>
      <c r="D31" s="13"/>
    </row>
    <row r="32" customFormat="false" ht="18" hidden="false" customHeight="true" outlineLevel="0" collapsed="false">
      <c r="A32" s="14" t="s">
        <v>39</v>
      </c>
      <c r="B32" s="15" t="n">
        <f aca="false">SUM(B25:B31)</f>
        <v>0</v>
      </c>
      <c r="C32" s="16"/>
      <c r="D32" s="16"/>
    </row>
    <row r="34" customFormat="false" ht="25.5" hidden="false" customHeight="true" outlineLevel="0" collapsed="false">
      <c r="A34" s="19" t="s">
        <v>40</v>
      </c>
      <c r="B34" s="20" t="n">
        <f aca="false">B16+B22+B32</f>
        <v>149.991666666667</v>
      </c>
      <c r="C34" s="21"/>
      <c r="D34" s="21"/>
    </row>
    <row r="36" customFormat="false" ht="15" hidden="false" customHeight="true" outlineLevel="0" collapsed="false">
      <c r="A36" s="5" t="s">
        <v>41</v>
      </c>
    </row>
    <row r="37" customFormat="false" ht="15.75" hidden="false" customHeight="true" outlineLevel="0" collapsed="false">
      <c r="A37" s="3" t="s">
        <v>42</v>
      </c>
      <c r="B37" s="3"/>
      <c r="C37" s="3"/>
      <c r="D37" s="3"/>
    </row>
    <row r="38" customFormat="false" ht="15.75" hidden="false" customHeight="true" outlineLevel="0" collapsed="false">
      <c r="A38" s="3" t="s">
        <v>43</v>
      </c>
      <c r="B38" s="3"/>
      <c r="C38" s="3"/>
      <c r="D38" s="3"/>
    </row>
    <row r="39" customFormat="false" ht="15.75" hidden="false" customHeight="true" outlineLevel="0" collapsed="false">
      <c r="A39" s="3" t="s">
        <v>44</v>
      </c>
      <c r="B39" s="3"/>
      <c r="C39" s="3"/>
      <c r="D39" s="3"/>
    </row>
    <row r="40" customFormat="false" ht="15.75" hidden="false" customHeight="true" outlineLevel="0" collapsed="false">
      <c r="A40" s="3" t="s">
        <v>45</v>
      </c>
      <c r="B40" s="3"/>
      <c r="C40" s="3"/>
      <c r="D40" s="3"/>
    </row>
    <row r="41" customFormat="false" ht="15.75" hidden="false" customHeight="true" outlineLevel="0" collapsed="false">
      <c r="A41" s="3" t="s">
        <v>46</v>
      </c>
      <c r="B41" s="3"/>
      <c r="C41" s="3"/>
      <c r="D41" s="3"/>
    </row>
  </sheetData>
  <mergeCells count="30">
    <mergeCell ref="A1:D1"/>
    <mergeCell ref="A2:D2"/>
    <mergeCell ref="A4:D5"/>
    <mergeCell ref="C8:D8"/>
    <mergeCell ref="C9:D9"/>
    <mergeCell ref="A10:D10"/>
    <mergeCell ref="C13:D13"/>
    <mergeCell ref="A14:D14"/>
    <mergeCell ref="C15:D15"/>
    <mergeCell ref="C16:D16"/>
    <mergeCell ref="A18:D18"/>
    <mergeCell ref="C19:D19"/>
    <mergeCell ref="C20:D20"/>
    <mergeCell ref="C21:D21"/>
    <mergeCell ref="C22:D22"/>
    <mergeCell ref="A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4:D34"/>
    <mergeCell ref="A37:D37"/>
    <mergeCell ref="A38:D38"/>
    <mergeCell ref="A39:D39"/>
    <mergeCell ref="A40:D40"/>
    <mergeCell ref="A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2026-09-14T04:07:49Z</dcterms:created>
  <dc:creator>openpyxl</dc:creator>
  <dc:description/>
  <dc:language>en-US</dc:language>
  <cp:lastModifiedBy/>
  <dcterms:modified xsi:type="dcterms:W3CDTF">2026-09-14T04:21:17Z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