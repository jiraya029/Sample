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Summary" sheetId="1" state="visible" r:id="rId1"/>
    <sheet name="Detailed Cost Breakdown" sheetId="2" state="visible" r:id="rId2"/>
    <sheet name="Architecture 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$#,##0.000000"/>
  </numFmts>
  <fonts count="10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375623"/>
      <sz val="11"/>
    </font>
    <font>
      <name val="Calibri"/>
      <b val="1"/>
      <color rgb="001B365D"/>
      <sz val="11"/>
    </font>
    <font>
      <name val="Calibri"/>
      <i val="1"/>
      <sz val="10"/>
    </font>
    <font>
      <name val="Calibri"/>
      <b val="1"/>
      <color rgb="001B365D"/>
      <sz val="13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9FBFD"/>
        <bgColor rgb="00F9FBFD"/>
      </patternFill>
    </fill>
    <fill>
      <patternFill patternType="solid">
        <fgColor rgb="00E2EFDA"/>
        <bgColor rgb="00E2EFDA"/>
      </patternFill>
    </fill>
    <fill>
      <patternFill patternType="solid">
        <fgColor rgb="00F2F7FA"/>
        <bgColor rgb="00F2F7F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double">
        <color rgb="001B365D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4" fillId="0" borderId="1" pivotButton="0" quotePrefix="0" xfId="0"/>
    <xf numFmtId="164" fontId="4" fillId="0" borderId="1" applyAlignment="1" pivotButton="0" quotePrefix="0" xfId="0">
      <alignment horizontal="right"/>
    </xf>
    <xf numFmtId="0" fontId="4" fillId="3" borderId="1" pivotButton="0" quotePrefix="0" xfId="0"/>
    <xf numFmtId="164" fontId="4" fillId="3" borderId="1" applyAlignment="1" pivotButton="0" quotePrefix="0" xfId="0">
      <alignment horizontal="right"/>
    </xf>
    <xf numFmtId="0" fontId="5" fillId="4" borderId="2" pivotButton="0" quotePrefix="0" xfId="0"/>
    <xf numFmtId="164" fontId="6" fillId="4" borderId="2" applyAlignment="1" pivotButton="0" quotePrefix="0" xfId="0">
      <alignment horizontal="right"/>
    </xf>
    <xf numFmtId="0" fontId="7" fillId="0" borderId="0" pivotButton="0" quotePrefix="0" xfId="0"/>
    <xf numFmtId="0" fontId="8" fillId="0" borderId="0" pivotButton="0" quotePrefix="0" xfId="0"/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center"/>
    </xf>
    <xf numFmtId="0" fontId="9" fillId="0" borderId="0" pivotButton="0" quotePrefix="0" xfId="0"/>
    <xf numFmtId="3" fontId="4" fillId="0" borderId="1" applyAlignment="1" pivotButton="0" quotePrefix="0" xfId="0">
      <alignment horizontal="right"/>
    </xf>
    <xf numFmtId="165" fontId="4" fillId="0" borderId="1" applyAlignment="1" pivotButton="0" quotePrefix="0" xfId="0">
      <alignment horizontal="right"/>
    </xf>
    <xf numFmtId="0" fontId="5" fillId="5" borderId="1" pivotButton="0" quotePrefix="0" xfId="0"/>
    <xf numFmtId="164" fontId="5" fillId="5" borderId="1" applyAlignment="1" pivotButton="0" quotePrefix="0" xfId="0">
      <alignment horizontal="right"/>
    </xf>
    <xf numFmtId="0" fontId="4" fillId="0" borderId="1" applyAlignment="1" pivotButton="0" quotePrefix="0" xfId="0">
      <alignment horizontal="center"/>
    </xf>
    <xf numFmtId="0" fontId="5" fillId="4" borderId="1" pivotButton="0" quotePrefix="0" xfId="0"/>
    <xf numFmtId="0" fontId="5" fillId="4" borderId="1" applyAlignment="1" pivotButton="0" quotePrefix="0" xfId="0">
      <alignment horizontal="center"/>
    </xf>
    <xf numFmtId="164" fontId="6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46" customWidth="1" min="3" max="3"/>
    <col width="26" customWidth="1" min="4" max="4"/>
  </cols>
  <sheetData>
    <row r="1">
      <c r="A1" s="1" t="inlineStr">
        <is>
          <t>Service Desk Trainer - Monthly Production Cost Estimate</t>
        </is>
      </c>
    </row>
    <row r="2">
      <c r="A2" s="2" t="inlineStr">
        <is>
          <t>Target Scale: 150 Enterprise Users | 3,500 Monthly Sessions | Self-Hosted Linux Server Deployment</t>
        </is>
      </c>
    </row>
    <row r="3"/>
    <row r="4">
      <c r="A4" s="3" t="inlineStr">
        <is>
          <t>Cost Category</t>
        </is>
      </c>
      <c r="B4" s="3" t="inlineStr">
        <is>
          <t>Component / Service</t>
        </is>
      </c>
      <c r="C4" s="3" t="inlineStr">
        <is>
          <t>Model / Specs</t>
        </is>
      </c>
      <c r="D4" s="4" t="inlineStr">
        <is>
          <t>Monthly Estimate (USD)</t>
        </is>
      </c>
    </row>
    <row r="5">
      <c r="A5" s="5" t="inlineStr">
        <is>
          <t>AI Infrastructure</t>
        </is>
      </c>
      <c r="B5" s="5" t="inlineStr">
        <is>
          <t>Live Roleplay Chat</t>
        </is>
      </c>
      <c r="C5" s="5" t="inlineStr">
        <is>
          <t>Gemini 3.5 Flash-Lite (24.5k turns)</t>
        </is>
      </c>
      <c r="D5" s="6">
        <f>'Detailed Cost Breakdown'!E10</f>
        <v/>
      </c>
    </row>
    <row r="6">
      <c r="A6" s="7" t="inlineStr">
        <is>
          <t>AI Infrastructure</t>
        </is>
      </c>
      <c r="B6" s="7" t="inlineStr">
        <is>
          <t>QA Evaluation &amp; Scoring</t>
        </is>
      </c>
      <c r="C6" s="7" t="inlineStr">
        <is>
          <t>Gemini 3.1 Pro (3,500 evaluations)</t>
        </is>
      </c>
      <c r="D6" s="8">
        <f>'Detailed Cost Breakdown'!E15</f>
        <v/>
      </c>
    </row>
    <row r="7">
      <c r="A7" s="5" t="inlineStr">
        <is>
          <t>Hosting &amp; Compute</t>
        </is>
      </c>
      <c r="B7" s="5" t="inlineStr">
        <is>
          <t>Application Server</t>
        </is>
      </c>
      <c r="C7" s="5" t="inlineStr">
        <is>
          <t>Self-Hosted Linux Server (In-House / On-Prem)</t>
        </is>
      </c>
      <c r="D7" s="6" t="n">
        <v>0</v>
      </c>
    </row>
    <row r="8">
      <c r="A8" s="7" t="inlineStr">
        <is>
          <t>Database</t>
        </is>
      </c>
      <c r="B8" s="7" t="inlineStr">
        <is>
          <t>Relational DB (PostgreSQL)</t>
        </is>
      </c>
      <c r="C8" s="7" t="inlineStr">
        <is>
          <t>Self-Hosted PostgreSQL on Linux</t>
        </is>
      </c>
      <c r="D8" s="8" t="n">
        <v>0</v>
      </c>
    </row>
    <row r="9">
      <c r="A9" s="5" t="inlineStr">
        <is>
          <t>Domain &amp; Security</t>
        </is>
      </c>
      <c r="B9" s="5" t="inlineStr">
        <is>
          <t>Custom Domain Name</t>
        </is>
      </c>
      <c r="C9" s="5" t="inlineStr">
        <is>
          <t>Domain Registration (~$9.50/yr amortized)</t>
        </is>
      </c>
      <c r="D9" s="6" t="n">
        <v>0.79</v>
      </c>
    </row>
    <row r="10">
      <c r="A10" s="7" t="inlineStr">
        <is>
          <t>Domain &amp; Security</t>
        </is>
      </c>
      <c r="B10" s="7" t="inlineStr">
        <is>
          <t>SSL/TLS Certificate</t>
        </is>
      </c>
      <c r="C10" s="7" t="inlineStr">
        <is>
          <t>Let's Encrypt Wildcard SSL</t>
        </is>
      </c>
      <c r="D10" s="8" t="n">
        <v>0</v>
      </c>
    </row>
    <row r="11">
      <c r="A11" s="9" t="inlineStr">
        <is>
          <t>GRAND TOTAL</t>
        </is>
      </c>
      <c r="B11" s="9" t="inlineStr">
        <is>
          <t>Recommended Hybrid Model</t>
        </is>
      </c>
      <c r="C11" s="9" t="inlineStr">
        <is>
          <t>Gemini Flash-Lite + Gemini Pro + Linux</t>
        </is>
      </c>
      <c r="D11" s="10">
        <f>SUM(D5:D10)</f>
        <v/>
      </c>
    </row>
    <row r="12"/>
    <row r="13">
      <c r="A13" s="11" t="inlineStr">
        <is>
          <t>Key Takeaways:</t>
        </is>
      </c>
    </row>
    <row r="14">
      <c r="A14" s="12" t="inlineStr">
        <is>
          <t>1. Hybrid AI Optimization: Using Gemini Flash-Lite for sub-second live chats keeps user experience fast while reducing chat cost by ~90%.</t>
        </is>
      </c>
    </row>
    <row r="15">
      <c r="A15" s="12" t="inlineStr">
        <is>
          <t>2. High-Precision Scoring: Using Gemini 3.1 Pro specifically for session scoring guarantees deep, accurate evaluation and feedback reports.</t>
        </is>
      </c>
    </row>
    <row r="16">
      <c r="A16" s="12" t="inlineStr">
        <is>
          <t>3. Zero Hosting Overhead: Eliminating Vercel ($20/mo) and Neon DB ($19/mo) by hosting on a Linux server drops fixed monthly hosting cost from $39/mo to $0.00.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16" customWidth="1" min="3" max="3"/>
    <col width="18" customWidth="1" min="4" max="4"/>
    <col width="24" customWidth="1" min="5" max="5"/>
  </cols>
  <sheetData>
    <row r="1">
      <c r="A1" s="1" t="inlineStr">
        <is>
          <t>Detailed Token Usage &amp; Cost Calculations</t>
        </is>
      </c>
    </row>
    <row r="2">
      <c r="A2" s="2" t="inlineStr">
        <is>
          <t>Baseline: 150 Users x 23 Sessions/Mo = 3,500 Sessions (7 turns/session = 24,500 turns)</t>
        </is>
      </c>
    </row>
    <row r="3"/>
    <row r="4">
      <c r="A4" s="13" t="inlineStr">
        <is>
          <t>Parameter / Metric</t>
        </is>
      </c>
      <c r="B4" s="14" t="inlineStr">
        <is>
          <t>Value / Volume</t>
        </is>
      </c>
      <c r="C4" s="14" t="inlineStr">
        <is>
          <t>Unit</t>
        </is>
      </c>
      <c r="D4" s="14" t="inlineStr">
        <is>
          <t>Unit Rate (USD)</t>
        </is>
      </c>
      <c r="E4" s="14" t="inlineStr">
        <is>
          <t>Total Monthly Cost (USD)</t>
        </is>
      </c>
    </row>
    <row r="5">
      <c r="A5" s="15" t="inlineStr">
        <is>
          <t>SECTION 1: LIVE CHAT (Gemini 3.5 Flash-Lite)</t>
        </is>
      </c>
      <c r="B5" t="inlineStr"/>
      <c r="C5" t="inlineStr"/>
      <c r="D5" t="inlineStr"/>
      <c r="E5" t="inlineStr"/>
    </row>
    <row r="6">
      <c r="A6" s="5" t="inlineStr">
        <is>
          <t>Monthly Chat Turns</t>
        </is>
      </c>
      <c r="B6" s="16" t="n">
        <v>24500</v>
      </c>
      <c r="C6" s="5" t="inlineStr">
        <is>
          <t>turns</t>
        </is>
      </c>
      <c r="D6" s="5" t="inlineStr">
        <is>
          <t>-</t>
        </is>
      </c>
      <c r="E6" s="5" t="inlineStr">
        <is>
          <t>-</t>
        </is>
      </c>
    </row>
    <row r="7">
      <c r="A7" s="5" t="inlineStr">
        <is>
          <t>Input Tokens per Turn (Context + History)</t>
        </is>
      </c>
      <c r="B7" s="16" t="n">
        <v>800</v>
      </c>
      <c r="C7" s="5" t="inlineStr">
        <is>
          <t>tokens/turn</t>
        </is>
      </c>
      <c r="D7" s="5" t="inlineStr">
        <is>
          <t>-</t>
        </is>
      </c>
      <c r="E7" s="5" t="inlineStr">
        <is>
          <t>-</t>
        </is>
      </c>
    </row>
    <row r="8">
      <c r="A8" s="5" t="inlineStr">
        <is>
          <t>Total Input Token Volume</t>
        </is>
      </c>
      <c r="B8" s="16" t="n">
        <v>19600000</v>
      </c>
      <c r="C8" s="5" t="inlineStr">
        <is>
          <t>tokens</t>
        </is>
      </c>
      <c r="D8" s="17" t="n">
        <v>7.5e-08</v>
      </c>
      <c r="E8" s="6">
        <f>B7*D7</f>
        <v/>
      </c>
    </row>
    <row r="9">
      <c r="A9" s="5" t="inlineStr">
        <is>
          <t>Output Tokens per Turn (AI Response)</t>
        </is>
      </c>
      <c r="B9" s="16" t="n">
        <v>150</v>
      </c>
      <c r="C9" s="5" t="inlineStr">
        <is>
          <t>tokens/turn</t>
        </is>
      </c>
      <c r="D9" s="5" t="inlineStr">
        <is>
          <t>-</t>
        </is>
      </c>
      <c r="E9" s="5" t="inlineStr">
        <is>
          <t>-</t>
        </is>
      </c>
    </row>
    <row r="10">
      <c r="A10" s="18" t="inlineStr">
        <is>
          <t>Total Output Token Volume</t>
        </is>
      </c>
      <c r="B10" s="18" t="n">
        <v>3675000</v>
      </c>
      <c r="C10" s="18" t="inlineStr">
        <is>
          <t>tokens</t>
        </is>
      </c>
      <c r="D10" s="18" t="n">
        <v>3e-07</v>
      </c>
      <c r="E10" s="19">
        <f>B9*D9</f>
        <v/>
      </c>
    </row>
    <row r="11">
      <c r="A11" s="5" t="inlineStr">
        <is>
          <t>LIVE CHAT SUBTOTAL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6">
        <f>E7+E9</f>
        <v/>
      </c>
    </row>
    <row r="12">
      <c r="A12" s="15" t="n"/>
    </row>
    <row r="13">
      <c r="A13" s="5" t="inlineStr">
        <is>
          <t>SECTION 2: QA EVALUATION &amp; SCORING (Gemini 3.1 Pro)</t>
        </is>
      </c>
      <c r="B13" s="16" t="inlineStr"/>
      <c r="C13" s="5" t="inlineStr"/>
      <c r="D13" s="5" t="inlineStr"/>
      <c r="E13" s="5" t="inlineStr"/>
    </row>
    <row r="14">
      <c r="A14" s="5" t="inlineStr">
        <is>
          <t>Monthly Evaluation Reports</t>
        </is>
      </c>
      <c r="B14" s="16" t="n">
        <v>3500</v>
      </c>
      <c r="C14" s="5" t="inlineStr">
        <is>
          <t>reports</t>
        </is>
      </c>
      <c r="D14" s="17" t="inlineStr">
        <is>
          <t>-</t>
        </is>
      </c>
      <c r="E14" s="6" t="inlineStr">
        <is>
          <t>-</t>
        </is>
      </c>
    </row>
    <row r="15">
      <c r="A15" s="18" t="inlineStr">
        <is>
          <t>Input Tokens per Report (Full Transcript + Rubric)</t>
        </is>
      </c>
      <c r="B15" s="18" t="n">
        <v>3000</v>
      </c>
      <c r="C15" s="18" t="inlineStr">
        <is>
          <t>tokens/report</t>
        </is>
      </c>
      <c r="D15" s="18" t="n">
        <v>1.25e-06</v>
      </c>
      <c r="E15" s="19">
        <f>B13*D13</f>
        <v/>
      </c>
    </row>
    <row r="16">
      <c r="A16" s="5" t="inlineStr">
        <is>
          <t>Output Tokens per Report (JSON Evaluation)</t>
        </is>
      </c>
      <c r="B16" s="5" t="n">
        <v>500</v>
      </c>
      <c r="C16" s="5" t="inlineStr">
        <is>
          <t>tokens/report</t>
        </is>
      </c>
      <c r="D16" s="5" t="n">
        <v>5e-06</v>
      </c>
      <c r="E16" s="6">
        <f>B14*D14</f>
        <v/>
      </c>
    </row>
    <row r="17">
      <c r="A17" s="15" t="inlineStr">
        <is>
          <t>QA SCORING SUBTOTAL</t>
        </is>
      </c>
      <c r="B17" t="inlineStr">
        <is>
          <t>-</t>
        </is>
      </c>
      <c r="C17" t="inlineStr">
        <is>
          <t>-</t>
        </is>
      </c>
      <c r="D17" t="inlineStr">
        <is>
          <t>-</t>
        </is>
      </c>
      <c r="E17">
        <f>E13+E14</f>
        <v/>
      </c>
    </row>
    <row r="18">
      <c r="A18" s="5" t="n"/>
      <c r="B18" s="5" t="n"/>
      <c r="C18" s="5" t="n"/>
      <c r="D18" s="6" t="n"/>
      <c r="E18" s="6" t="n"/>
    </row>
    <row r="19">
      <c r="A19" s="5" t="inlineStr">
        <is>
          <t>SECTION 3: HOSTING &amp; INFRASTRUCTURE</t>
        </is>
      </c>
      <c r="B19" s="5" t="inlineStr"/>
      <c r="C19" s="5" t="inlineStr"/>
      <c r="D19" s="6" t="inlineStr"/>
      <c r="E19" s="6" t="inlineStr"/>
    </row>
    <row r="20">
      <c r="A20" s="5" t="inlineStr">
        <is>
          <t>Linux Server (In-House / Existing Server)</t>
        </is>
      </c>
      <c r="B20" s="5" t="n">
        <v>1</v>
      </c>
      <c r="C20" s="5" t="inlineStr">
        <is>
          <t>server</t>
        </is>
      </c>
      <c r="D20" s="6" t="n">
        <v>0</v>
      </c>
      <c r="E20" s="6" t="n">
        <v>0</v>
      </c>
    </row>
    <row r="21">
      <c r="A21" s="5" t="inlineStr">
        <is>
          <t>PostgreSQL Database Engine</t>
        </is>
      </c>
      <c r="B21" s="5" t="n">
        <v>1</v>
      </c>
      <c r="C21" s="5" t="inlineStr">
        <is>
          <t>database</t>
        </is>
      </c>
      <c r="D21" s="6" t="n">
        <v>0</v>
      </c>
      <c r="E21" s="6" t="n">
        <v>0</v>
      </c>
    </row>
    <row r="22">
      <c r="A22" s="18" t="inlineStr">
        <is>
          <t>Custom Domain (.com / .org)</t>
        </is>
      </c>
      <c r="B22" s="18" t="n">
        <v>1</v>
      </c>
      <c r="C22" s="18" t="inlineStr">
        <is>
          <t>domain</t>
        </is>
      </c>
      <c r="D22" s="18" t="n">
        <v>0.79</v>
      </c>
      <c r="E22" s="19" t="n">
        <v>0.79</v>
      </c>
    </row>
    <row r="23">
      <c r="A23" t="inlineStr">
        <is>
          <t>SSL Certificate (Let's Encrypt)</t>
        </is>
      </c>
      <c r="B23" t="n">
        <v>1</v>
      </c>
      <c r="C23" t="inlineStr">
        <is>
          <t>certificate</t>
        </is>
      </c>
      <c r="D23" t="n">
        <v>0</v>
      </c>
      <c r="E23" t="n">
        <v>0</v>
      </c>
    </row>
    <row r="24">
      <c r="A24" t="inlineStr">
        <is>
          <t>INFRASTRUCTURE SUBTOTAL</t>
        </is>
      </c>
      <c r="B24" t="inlineStr">
        <is>
          <t>-</t>
        </is>
      </c>
      <c r="C24" t="inlineStr">
        <is>
          <t>-</t>
        </is>
      </c>
      <c r="D24" t="inlineStr">
        <is>
          <t>-</t>
        </is>
      </c>
      <c r="E24">
        <f>SUM(E18:E21)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18" customWidth="1" min="4" max="4"/>
    <col width="16" customWidth="1" min="5" max="5"/>
    <col width="16" customWidth="1" min="6" max="6"/>
    <col width="26" customWidth="1" min="7" max="7"/>
  </cols>
  <sheetData>
    <row r="1">
      <c r="A1" s="1" t="inlineStr">
        <is>
          <t>Architecture &amp; Cost Comparison Matrix</t>
        </is>
      </c>
    </row>
    <row r="2">
      <c r="A2" s="2" t="inlineStr">
        <is>
          <t>Comparing Original Claude Estimate vs 100% Flash vs 100% Pro vs Recommended Hybrid</t>
        </is>
      </c>
    </row>
    <row r="3"/>
    <row r="4">
      <c r="A4" s="13" t="inlineStr">
        <is>
          <t>Architecture Option</t>
        </is>
      </c>
      <c r="B4" s="13" t="inlineStr">
        <is>
          <t>Live Chat Engine</t>
        </is>
      </c>
      <c r="C4" s="13" t="inlineStr">
        <is>
          <t>QA Evaluation Engine</t>
        </is>
      </c>
      <c r="D4" s="13" t="inlineStr">
        <is>
          <t>Hosting Setup</t>
        </is>
      </c>
      <c r="E4" s="14" t="inlineStr">
        <is>
          <t>Chat Latency</t>
        </is>
      </c>
      <c r="F4" s="14" t="inlineStr">
        <is>
          <t>Score Accuracy</t>
        </is>
      </c>
      <c r="G4" s="14" t="inlineStr">
        <is>
          <t>Est. Monthly Cost (USD)</t>
        </is>
      </c>
    </row>
    <row r="5">
      <c r="A5" s="5" t="inlineStr">
        <is>
          <t>Claude Estimate (Third-Party SaaS)</t>
        </is>
      </c>
      <c r="B5" s="5" t="inlineStr">
        <is>
          <t>Claude 3.5 Sonnet</t>
        </is>
      </c>
      <c r="C5" s="5" t="inlineStr">
        <is>
          <t>Claude 3.5 Sonnet</t>
        </is>
      </c>
      <c r="D5" s="5" t="inlineStr">
        <is>
          <t>Vercel + Neon DB</t>
        </is>
      </c>
      <c r="E5" s="20" t="inlineStr">
        <is>
          <t>1.8s - 3.2s</t>
        </is>
      </c>
      <c r="F5" s="20" t="inlineStr">
        <is>
          <t>High</t>
        </is>
      </c>
      <c r="G5" s="6" t="n">
        <v>185</v>
      </c>
    </row>
    <row r="6">
      <c r="A6" s="5" t="inlineStr">
        <is>
          <t>100% Gemini Pro Setup</t>
        </is>
      </c>
      <c r="B6" s="5" t="inlineStr">
        <is>
          <t>Gemini 3.1 Pro</t>
        </is>
      </c>
      <c r="C6" s="5" t="inlineStr">
        <is>
          <t>Gemini 3.1 Pro</t>
        </is>
      </c>
      <c r="D6" s="5" t="inlineStr">
        <is>
          <t>Linux Server</t>
        </is>
      </c>
      <c r="E6" s="20" t="inlineStr">
        <is>
          <t>1.5s - 2.8s</t>
        </is>
      </c>
      <c r="F6" s="20" t="inlineStr">
        <is>
          <t>Maximum</t>
        </is>
      </c>
      <c r="G6" s="6" t="n">
        <v>175</v>
      </c>
    </row>
    <row r="7">
      <c r="A7" s="5" t="inlineStr">
        <is>
          <t>100% Gemini Flash Setup</t>
        </is>
      </c>
      <c r="B7" s="5" t="inlineStr">
        <is>
          <t>Gemini 3.5 Flash-Lite</t>
        </is>
      </c>
      <c r="C7" s="5" t="inlineStr">
        <is>
          <t>Gemini 3.5 Flash-Lite</t>
        </is>
      </c>
      <c r="D7" s="5" t="inlineStr">
        <is>
          <t>Linux Server</t>
        </is>
      </c>
      <c r="E7" s="20" t="inlineStr">
        <is>
          <t>0.4s - 0.7s</t>
        </is>
      </c>
      <c r="F7" s="20" t="inlineStr">
        <is>
          <t>Moderate</t>
        </is>
      </c>
      <c r="G7" s="6" t="n">
        <v>4.5</v>
      </c>
    </row>
    <row r="8">
      <c r="A8" s="21" t="inlineStr">
        <is>
          <t>RECOMMENDED HYBRID SETUP</t>
        </is>
      </c>
      <c r="B8" s="21" t="inlineStr">
        <is>
          <t>Gemini 3.5 Flash-Lite</t>
        </is>
      </c>
      <c r="C8" s="21" t="inlineStr">
        <is>
          <t>Gemini 3.1 Pro</t>
        </is>
      </c>
      <c r="D8" s="21" t="inlineStr">
        <is>
          <t>Linux Server</t>
        </is>
      </c>
      <c r="E8" s="22" t="inlineStr">
        <is>
          <t>0.4s - 0.7s</t>
        </is>
      </c>
      <c r="F8" s="22" t="inlineStr">
        <is>
          <t>Maximum</t>
        </is>
      </c>
      <c r="G8" s="23" t="n">
        <v>25.24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2026-09-16T07:19:18Z</dcterms:created>
  <dcterms:modified xsi:type="dcterms:W3CDTF">2026-09-16T07:19:18Z</dcterms:modified>
</cp:coreProperties>
</file>