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Cost Estimate" sheetId="1" state="visible" r:id="rId3"/>
    <sheet name="AI Model 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<sst xmlns="http://schemas.openxmlformats.org/spreadsheetml/2006/main" count="87" uniqueCount="66">
  <si>
    <t xml:space="preserve">Monthly Infrastructure &amp; AI Cost Estimate — Service Desk Trainer</t>
  </si>
  <si>
    <t xml:space="preserve">All figures in USD. Legend: blue = estimated input (edit these), black bold = formula total.</t>
  </si>
  <si>
    <t xml:space="preserve">Small team (~20 trainees, ~200 sessions/mo)</t>
  </si>
  <si>
    <t xml:space="preserve">Growing team (~100 trainees, ~1,300 sessions/mo)</t>
  </si>
  <si>
    <t xml:space="preserve">Larger rollout (~500 trainees, ~7,500 sessions/mo)</t>
  </si>
  <si>
    <t xml:space="preserve">Item</t>
  </si>
  <si>
    <t xml:space="preserve">Low ($)</t>
  </si>
  <si>
    <t xml:space="preserve">High ($)</t>
  </si>
  <si>
    <t xml:space="preserve">Notes / what drives the cost</t>
  </si>
  <si>
    <t xml:space="preserve">Gemini API</t>
  </si>
  <si>
    <t xml:space="preserve">Usage-based: per-token cost of client-reply turns + one scoring call per session</t>
  </si>
  <si>
    <t xml:space="preserve">Hosting (Render Standard / Vercel Pro)</t>
  </si>
  <si>
    <t xml:space="preserve">Flat platform fee; larger rollout may need a bigger compute tier for concurrent traffic</t>
  </si>
  <si>
    <t xml:space="preserve">Neon Postgres (Launch, usage-based)</t>
  </si>
  <si>
    <t xml:space="preserve">Billed on active compute hours (CU-hours) + storage; scales to zero when idle</t>
  </si>
  <si>
    <t xml:space="preserve">Uptime monitoring</t>
  </si>
  <si>
    <t xml:space="preserve">Free tier sufficient at small/medium scale; paged/SMS alerts needed at larger scale</t>
  </si>
  <si>
    <t xml:space="preserve">Error tracking (Sentry)</t>
  </si>
  <si>
    <t xml:space="preserve">Free tier covers low event volume; Team plan needed once error volume grows</t>
  </si>
  <si>
    <t xml:space="preserve">Monthly total</t>
  </si>
  <si>
    <t xml:space="preserve">Domain (separate, billed annually — not a monthly cost)</t>
  </si>
  <si>
    <t xml:space="preserve">At-cost .com registration (e.g. Cloudflare Registrar), paid once per year</t>
  </si>
  <si>
    <t xml:space="preserve">Other resources required to deploy (production-grade — some scale with team size)</t>
  </si>
  <si>
    <t xml:space="preserve">Resource</t>
  </si>
  <si>
    <t xml:space="preserve">Domain registration &amp; DNS (Cloudflare)</t>
  </si>
  <si>
    <t xml:space="preserve">Registration itself is the annual cost in the row above; Cloudflare's DNS hosting has unlimited queries free on every plan tier</t>
  </si>
  <si>
    <t xml:space="preserve">SSL/TLS certificate</t>
  </si>
  <si>
    <t xml:space="preserve">Vercel and Render both auto-issue and auto-renew certificates via Let's Encrypt at no charge — standard practice for managed hosts</t>
  </si>
  <si>
    <t xml:space="preserve">CI/CD (build &amp; deploy pipeline)</t>
  </si>
  <si>
    <t xml:space="preserve">GitHub Actions: 2,000 free Linux minutes/mo on the Free plan, 3,000 on Team ($4/user/mo); overage bills at $0.006/min (Jan 2026 rate). Small team stays free; larger rollout's deploy/test volume can need the Team plan or a few dollars of overage</t>
  </si>
  <si>
    <t xml:space="preserve">Secrets management</t>
  </si>
  <si>
    <t xml:space="preserve">Doppler's free tier covers up to 3 users; its Team plan is $21/user/mo (adds SSO, audit logs, auto-rotation). Larger rollout assumed at 1–3 paid seats. AWS Secrets Manager (~$0.40/secret/mo) is a cheaper per-secret alternative</t>
  </si>
  <si>
    <t xml:space="preserve">Cloudflare WAF / rate limiting</t>
  </si>
  <si>
    <t xml:space="preserve">Free plan's 5 custom WAF rules are enough to rate-limit /api/turn and /api/score at small/medium scale; Cloudflare Pro ($20/mo/domain) adds the full OWASP managed ruleset and 20 custom rules, worth it once traffic and abuse surface grow</t>
  </si>
  <si>
    <t xml:space="preserve">Subtotal — other resources</t>
  </si>
  <si>
    <t xml:space="preserve">Not included in the “Monthly total” above — these are fixed platform/tooling costs rather than usage-scaled infra, and several are optional depending on your team's existing tooling.</t>
  </si>
  <si>
    <t xml:space="preserve">Assumptions &amp; sources</t>
  </si>
  <si>
    <t xml:space="preserve">• Figures are estimates based on publicly listed pricing pages (Google AI/Gemini API, Neon, Vercel, Render, Sentry, Better Uptime / UptimeRobot, Cloudflare, GitHub, Doppler), gathered via web search.</t>
  </si>
  <si>
    <t xml:space="preserve">• Gemini API cost assumes gemini-3.1-flash-lite for per-turn client replies and scoring; actual cost scales with real token volume per session, not session count alone.</t>
  </si>
  <si>
    <t xml:space="preserve">• Ranges reflect usage variability (e.g. Neon compute hours depend on how many hours/day the app sees active traffic).</t>
  </si>
  <si>
    <t xml:space="preserve">• CI/CD assumes GitHub Actions; costs shown are the Team plan seat fee and/or per-minute overage above the free allowance (rates effective Jan 2026) — self-hosted runners would remove this line entirely.</t>
  </si>
  <si>
    <t xml:space="preserve">• Secrets management assumes Doppler; many teams instead use free environment-variable storage built into Vercel/Render, which keeps this line at $0 regardless of team size.</t>
  </si>
  <si>
    <t xml:space="preserve">• Cloudflare WAF assumes the Pro plan ($20/mo/domain) once you outgrow the Free plan's 5 custom rules; Business ($200/mo) is not assumed necessary at any of these scenario sizes.</t>
  </si>
  <si>
    <t xml:space="preserve">• Currency: USD. Convert to local currency at the prevailing exchange rate on your actual billing date — rates fluctuate day to day.</t>
  </si>
  <si>
    <t xml:space="preserve">• This is a planning estimate, not a vendor quote — confirm current rates on each provider's pricing page before budgeting.</t>
  </si>
  <si>
    <t xml:space="preserve">Gemini Model Cost Comparison — Turn Generation + Scoring</t>
  </si>
  <si>
    <t xml:space="preserve">Shows what the Gemini API line in the main sheet would cost if you switched models. Blue = editable input.</t>
  </si>
  <si>
    <t xml:space="preserve">Assumptions</t>
  </si>
  <si>
    <t xml:space="preserve">Sessions per month</t>
  </si>
  <si>
    <t xml:space="preserve">Small team</t>
  </si>
  <si>
    <t xml:space="preserve">Growing team</t>
  </si>
  <si>
    <t xml:space="preserve">Larger rollout</t>
  </si>
  <si>
    <t xml:space="preserve">Sessions / month</t>
  </si>
  <si>
    <t xml:space="preserve">Avg. input tokens / session (turns + context resent)</t>
  </si>
  <si>
    <t xml:space="preserve">Avg. output tokens / session (client replies + report)</t>
  </si>
  <si>
    <t xml:space="preserve">Model pricing (per 1M tokens, USD)</t>
  </si>
  <si>
    <t xml:space="preserve">Model</t>
  </si>
  <si>
    <t xml:space="preserve">Input $/1M</t>
  </si>
  <si>
    <t xml:space="preserve">Output $/1M</t>
  </si>
  <si>
    <t xml:space="preserve">Gemini 3.1 Flash-Lite (current default)</t>
  </si>
  <si>
    <t xml:space="preserve">Gemini 3.7 Flash</t>
  </si>
  <si>
    <t xml:space="preserve">Gemini 3.1 Pro</t>
  </si>
  <si>
    <t xml:space="preserve">Estimated monthly Gemini API cost by model</t>
  </si>
  <si>
    <t xml:space="preserve">• Gemini 3.1 Flash-Lite row should match the “Gemini API” line on the Monthly Cost Estimate sheet — it's the same assumption set.</t>
  </si>
  <si>
    <t xml:space="preserve">• 3.7 Flash and 3.1 Pro cost more per token but generally reason better — useful mainly if you also switch the once-per-session scoring call to get sharper written feedback.</t>
  </si>
  <si>
    <t xml:space="preserve">• Edit the blue cells (sessions, tokens/session, rates) to model your own assumptions — every total recalculates.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</si>
</sst>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"/>
    <numFmt numFmtId="167" formatCode="\$#,##0.00;&quot;($&quot;#,##0.00\);\-"/>
    <numFmt numFmtId="168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9"/>
    <col collapsed="false" customWidth="true" hidden="false" outlineLevel="0" max="8" min="8" style="1" width="4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B4" s="4" t="s">
        <v>2</v>
      </c>
      <c r="C4" s="4"/>
      <c r="D4" s="4" t="s">
        <v>3</v>
      </c>
      <c r="E4" s="4"/>
      <c r="F4" s="4" t="s">
        <v>4</v>
      </c>
      <c r="G4" s="4"/>
    </row>
    <row r="5" customFormat="false" ht="27.75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6</v>
      </c>
      <c r="E5" s="5" t="s">
        <v>7</v>
      </c>
      <c r="F5" s="5" t="s">
        <v>6</v>
      </c>
      <c r="G5" s="5" t="s">
        <v>7</v>
      </c>
      <c r="H5" s="5" t="s">
        <v>8</v>
      </c>
    </row>
    <row r="6" customFormat="false" ht="27.75" hidden="false" customHeight="true" outlineLevel="0" collapsed="false">
      <c r="A6" s="6" t="s">
        <v>9</v>
      </c>
      <c r="B6" s="7" t="n">
        <v>1</v>
      </c>
      <c r="C6" s="7" t="n">
        <v>1</v>
      </c>
      <c r="D6" s="7" t="n">
        <v>6</v>
      </c>
      <c r="E6" s="7" t="n">
        <v>6</v>
      </c>
      <c r="F6" s="7" t="n">
        <v>35</v>
      </c>
      <c r="G6" s="7" t="n">
        <v>35</v>
      </c>
      <c r="H6" s="8" t="s">
        <v>10</v>
      </c>
    </row>
    <row r="7" customFormat="false" ht="27.75" hidden="false" customHeight="true" outlineLevel="0" collapsed="false">
      <c r="A7" s="6" t="s">
        <v>11</v>
      </c>
      <c r="B7" s="7" t="n">
        <v>25</v>
      </c>
      <c r="C7" s="7" t="n">
        <v>25</v>
      </c>
      <c r="D7" s="7" t="n">
        <v>25</v>
      </c>
      <c r="E7" s="7" t="n">
        <v>25</v>
      </c>
      <c r="F7" s="7" t="n">
        <v>25</v>
      </c>
      <c r="G7" s="7" t="n">
        <v>85</v>
      </c>
      <c r="H7" s="8" t="s">
        <v>12</v>
      </c>
    </row>
    <row r="8" customFormat="false" ht="27.75" hidden="false" customHeight="true" outlineLevel="0" collapsed="false">
      <c r="A8" s="6" t="s">
        <v>13</v>
      </c>
      <c r="B8" s="7" t="n">
        <v>5</v>
      </c>
      <c r="C8" s="7" t="n">
        <v>8</v>
      </c>
      <c r="D8" s="7" t="n">
        <v>10</v>
      </c>
      <c r="E8" s="7" t="n">
        <v>15</v>
      </c>
      <c r="F8" s="7" t="n">
        <v>20</v>
      </c>
      <c r="G8" s="7" t="n">
        <v>35</v>
      </c>
      <c r="H8" s="8" t="s">
        <v>14</v>
      </c>
    </row>
    <row r="9" customFormat="false" ht="27.75" hidden="false" customHeight="true" outlineLevel="0" collapsed="false">
      <c r="A9" s="6" t="s">
        <v>15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18</v>
      </c>
      <c r="G9" s="7" t="n">
        <v>29</v>
      </c>
      <c r="H9" s="8" t="s">
        <v>16</v>
      </c>
    </row>
    <row r="10" customFormat="false" ht="27.75" hidden="false" customHeight="true" outlineLevel="0" collapsed="false">
      <c r="A10" s="6" t="s">
        <v>17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26</v>
      </c>
      <c r="H10" s="8" t="s">
        <v>18</v>
      </c>
    </row>
    <row r="11" customFormat="false" ht="19.5" hidden="false" customHeight="true" outlineLevel="0" collapsed="false">
      <c r="A11" s="9" t="s">
        <v>19</v>
      </c>
      <c r="B11" s="10" t="n">
        <f aca="false">SUM(B6:B10)</f>
        <v>31</v>
      </c>
      <c r="C11" s="10" t="n">
        <f aca="false">SUM(C6:C10)</f>
        <v>34</v>
      </c>
      <c r="D11" s="10" t="n">
        <f aca="false">SUM(D6:D10)</f>
        <v>41</v>
      </c>
      <c r="E11" s="10" t="n">
        <f aca="false">SUM(E6:E10)</f>
        <v>46</v>
      </c>
      <c r="F11" s="10" t="n">
        <f aca="false">SUM(F6:F10)</f>
        <v>98</v>
      </c>
      <c r="G11" s="10" t="n">
        <f aca="false">SUM(G6:G10)</f>
        <v>210</v>
      </c>
      <c r="H11" s="11"/>
    </row>
    <row r="13" customFormat="false" ht="27.75" hidden="false" customHeight="true" outlineLevel="0" collapsed="false">
      <c r="A13" s="12" t="s">
        <v>20</v>
      </c>
      <c r="B13" s="7" t="n">
        <v>9</v>
      </c>
      <c r="C13" s="7" t="n">
        <v>10</v>
      </c>
      <c r="D13" s="7" t="n">
        <v>9</v>
      </c>
      <c r="E13" s="7" t="n">
        <v>10</v>
      </c>
      <c r="F13" s="7" t="n">
        <v>9</v>
      </c>
      <c r="G13" s="7" t="n">
        <v>10</v>
      </c>
      <c r="H13" s="8" t="s">
        <v>21</v>
      </c>
    </row>
    <row r="15" customFormat="false" ht="15" hidden="false" customHeight="true" outlineLevel="0" collapsed="false">
      <c r="A15" s="13" t="s">
        <v>22</v>
      </c>
    </row>
    <row r="16" customFormat="false" ht="27.75" hidden="false" customHeight="true" outlineLevel="0" collapsed="false">
      <c r="B16" s="14" t="s">
        <v>2</v>
      </c>
      <c r="C16" s="14"/>
      <c r="D16" s="14" t="s">
        <v>3</v>
      </c>
      <c r="E16" s="14"/>
      <c r="F16" s="14" t="s">
        <v>4</v>
      </c>
      <c r="G16" s="14"/>
    </row>
    <row r="17" customFormat="false" ht="18" hidden="false" customHeight="true" outlineLevel="0" collapsed="false">
      <c r="A17" s="15" t="s">
        <v>23</v>
      </c>
      <c r="B17" s="16" t="s">
        <v>6</v>
      </c>
      <c r="C17" s="16" t="s">
        <v>7</v>
      </c>
      <c r="D17" s="16" t="s">
        <v>6</v>
      </c>
      <c r="E17" s="16" t="s">
        <v>7</v>
      </c>
      <c r="F17" s="16" t="s">
        <v>6</v>
      </c>
      <c r="G17" s="16" t="s">
        <v>7</v>
      </c>
      <c r="H17" s="15" t="s">
        <v>8</v>
      </c>
    </row>
    <row r="18" customFormat="false" ht="39.75" hidden="false" customHeight="true" outlineLevel="0" collapsed="false">
      <c r="A18" s="6" t="s">
        <v>24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8" t="s">
        <v>25</v>
      </c>
    </row>
    <row r="19" customFormat="false" ht="39.75" hidden="false" customHeight="true" outlineLevel="0" collapsed="false">
      <c r="A19" s="6" t="s">
        <v>26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8" t="s">
        <v>27</v>
      </c>
    </row>
    <row r="20" customFormat="false" ht="39.75" hidden="false" customHeight="true" outlineLevel="0" collapsed="false">
      <c r="A20" s="6" t="s">
        <v>28</v>
      </c>
      <c r="B20" s="7" t="n">
        <v>0</v>
      </c>
      <c r="C20" s="7" t="n">
        <v>0</v>
      </c>
      <c r="D20" s="7" t="n">
        <v>0</v>
      </c>
      <c r="E20" s="7" t="n">
        <v>4</v>
      </c>
      <c r="F20" s="7" t="n">
        <v>4</v>
      </c>
      <c r="G20" s="7" t="n">
        <v>24</v>
      </c>
      <c r="H20" s="8" t="s">
        <v>29</v>
      </c>
    </row>
    <row r="21" customFormat="false" ht="39.75" hidden="false" customHeight="true" outlineLevel="0" collapsed="false">
      <c r="A21" s="6" t="s">
        <v>30</v>
      </c>
      <c r="B21" s="7" t="n">
        <v>0</v>
      </c>
      <c r="C21" s="7" t="n">
        <v>0</v>
      </c>
      <c r="D21" s="7" t="n">
        <v>0</v>
      </c>
      <c r="E21" s="7" t="n">
        <v>21</v>
      </c>
      <c r="F21" s="7" t="n">
        <v>21</v>
      </c>
      <c r="G21" s="7" t="n">
        <v>63</v>
      </c>
      <c r="H21" s="8" t="s">
        <v>31</v>
      </c>
    </row>
    <row r="22" customFormat="false" ht="39.75" hidden="false" customHeight="true" outlineLevel="0" collapsed="false">
      <c r="A22" s="6" t="s">
        <v>32</v>
      </c>
      <c r="B22" s="7" t="n">
        <v>0</v>
      </c>
      <c r="C22" s="7" t="n">
        <v>0</v>
      </c>
      <c r="D22" s="7" t="n">
        <v>0</v>
      </c>
      <c r="E22" s="7" t="n">
        <v>20</v>
      </c>
      <c r="F22" s="7" t="n">
        <v>20</v>
      </c>
      <c r="G22" s="7" t="n">
        <v>20</v>
      </c>
      <c r="H22" s="8" t="s">
        <v>33</v>
      </c>
    </row>
    <row r="23" customFormat="false" ht="18" hidden="false" customHeight="true" outlineLevel="0" collapsed="false">
      <c r="A23" s="17" t="s">
        <v>34</v>
      </c>
      <c r="B23" s="18" t="n">
        <f aca="false">SUM(B18:B22)</f>
        <v>0</v>
      </c>
      <c r="C23" s="18" t="n">
        <f aca="false">SUM(C18:C22)</f>
        <v>0</v>
      </c>
      <c r="D23" s="18" t="n">
        <f aca="false">SUM(D18:D22)</f>
        <v>0</v>
      </c>
      <c r="E23" s="18" t="n">
        <f aca="false">SUM(E18:E22)</f>
        <v>45</v>
      </c>
      <c r="F23" s="18" t="n">
        <f aca="false">SUM(F18:F22)</f>
        <v>45</v>
      </c>
      <c r="G23" s="18" t="n">
        <f aca="false">SUM(G18:G22)</f>
        <v>107</v>
      </c>
      <c r="H23" s="19"/>
    </row>
    <row r="24" customFormat="false" ht="15" hidden="false" customHeight="true" outlineLevel="0" collapsed="false">
      <c r="A24" s="3" t="s">
        <v>35</v>
      </c>
      <c r="B24" s="3"/>
      <c r="C24" s="3"/>
      <c r="D24" s="3"/>
      <c r="E24" s="3"/>
      <c r="F24" s="3"/>
      <c r="G24" s="3"/>
      <c r="H24" s="3"/>
    </row>
    <row r="26" customFormat="false" ht="15" hidden="false" customHeight="true" outlineLevel="0" collapsed="false">
      <c r="A26" s="13" t="s">
        <v>36</v>
      </c>
    </row>
    <row r="27" customFormat="false" ht="15" hidden="false" customHeight="true" outlineLevel="0" collapsed="false">
      <c r="A27" s="20" t="s">
        <v>37</v>
      </c>
    </row>
    <row r="28" customFormat="false" ht="15" hidden="false" customHeight="true" outlineLevel="0" collapsed="false">
      <c r="A28" s="20" t="s">
        <v>38</v>
      </c>
    </row>
    <row r="29" customFormat="false" ht="15" hidden="false" customHeight="true" outlineLevel="0" collapsed="false">
      <c r="A29" s="20" t="s">
        <v>39</v>
      </c>
    </row>
    <row r="30" customFormat="false" ht="15" hidden="false" customHeight="true" outlineLevel="0" collapsed="false">
      <c r="A30" s="20" t="s">
        <v>40</v>
      </c>
    </row>
    <row r="31" customFormat="false" ht="15" hidden="false" customHeight="true" outlineLevel="0" collapsed="false">
      <c r="A31" s="20" t="s">
        <v>41</v>
      </c>
    </row>
    <row r="32" customFormat="false" ht="15" hidden="false" customHeight="true" outlineLevel="0" collapsed="false">
      <c r="A32" s="20" t="s">
        <v>42</v>
      </c>
    </row>
    <row r="33" customFormat="false" ht="15" hidden="false" customHeight="true" outlineLevel="0" collapsed="false">
      <c r="A33" s="20" t="s">
        <v>43</v>
      </c>
    </row>
    <row r="34" customFormat="false" ht="15" hidden="false" customHeight="true" outlineLevel="0" collapsed="false">
      <c r="A34" s="20" t="s">
        <v>44</v>
      </c>
    </row>
  </sheetData>
  <mergeCells count="9">
    <mergeCell ref="A1:H1"/>
    <mergeCell ref="A2:H2"/>
    <mergeCell ref="B4:C4"/>
    <mergeCell ref="D4:E4"/>
    <mergeCell ref="F4:G4"/>
    <mergeCell ref="B16:C16"/>
    <mergeCell ref="D16:E16"/>
    <mergeCell ref="F16:G16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</cols>
  <sheetData>
    <row r="1" customFormat="false" ht="25.5" hidden="false" customHeight="true" outlineLevel="0" collapsed="false">
      <c r="A1" s="2" t="s">
        <v>45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46</v>
      </c>
      <c r="B2" s="3"/>
      <c r="C2" s="3"/>
      <c r="D2" s="3"/>
      <c r="E2" s="3"/>
    </row>
    <row r="4" customFormat="false" ht="15" hidden="false" customHeight="true" outlineLevel="0" collapsed="false">
      <c r="A4" s="13" t="s">
        <v>47</v>
      </c>
    </row>
    <row r="5" customFormat="false" ht="15" hidden="false" customHeight="true" outlineLevel="0" collapsed="false">
      <c r="A5" s="17" t="s">
        <v>48</v>
      </c>
      <c r="B5" s="21" t="s">
        <v>49</v>
      </c>
      <c r="C5" s="21" t="s">
        <v>50</v>
      </c>
      <c r="D5" s="21" t="s">
        <v>51</v>
      </c>
    </row>
    <row r="6" customFormat="false" ht="15.75" hidden="false" customHeight="true" outlineLevel="0" collapsed="false">
      <c r="A6" s="6" t="s">
        <v>52</v>
      </c>
      <c r="B6" s="22" t="n">
        <v>200</v>
      </c>
      <c r="C6" s="22" t="n">
        <v>1300</v>
      </c>
      <c r="D6" s="22" t="n">
        <v>7500</v>
      </c>
    </row>
    <row r="7" customFormat="false" ht="15.75" hidden="false" customHeight="true" outlineLevel="0" collapsed="false">
      <c r="A7" s="6" t="s">
        <v>53</v>
      </c>
      <c r="B7" s="22" t="n">
        <v>12000</v>
      </c>
      <c r="C7" s="22" t="n">
        <v>12000</v>
      </c>
      <c r="D7" s="22" t="n">
        <v>12000</v>
      </c>
    </row>
    <row r="8" customFormat="false" ht="15.75" hidden="false" customHeight="true" outlineLevel="0" collapsed="false">
      <c r="A8" s="6" t="s">
        <v>54</v>
      </c>
      <c r="B8" s="22" t="n">
        <v>1000</v>
      </c>
      <c r="C8" s="22" t="n">
        <v>1000</v>
      </c>
      <c r="D8" s="22" t="n">
        <v>1000</v>
      </c>
    </row>
    <row r="10" customFormat="false" ht="15" hidden="false" customHeight="true" outlineLevel="0" collapsed="false">
      <c r="A10" s="13" t="s">
        <v>55</v>
      </c>
    </row>
    <row r="11" customFormat="false" ht="15.75" hidden="false" customHeight="true" outlineLevel="0" collapsed="false">
      <c r="A11" s="23" t="s">
        <v>56</v>
      </c>
      <c r="B11" s="16" t="s">
        <v>57</v>
      </c>
      <c r="C11" s="16" t="s">
        <v>58</v>
      </c>
    </row>
    <row r="12" customFormat="false" ht="15.75" hidden="false" customHeight="true" outlineLevel="0" collapsed="false">
      <c r="A12" s="6" t="s">
        <v>59</v>
      </c>
      <c r="B12" s="24" t="n">
        <v>0.25</v>
      </c>
      <c r="C12" s="24" t="n">
        <v>1.5</v>
      </c>
    </row>
    <row r="13" customFormat="false" ht="15.75" hidden="false" customHeight="true" outlineLevel="0" collapsed="false">
      <c r="A13" s="6" t="s">
        <v>60</v>
      </c>
      <c r="B13" s="24" t="n">
        <v>0.75</v>
      </c>
      <c r="C13" s="24" t="n">
        <v>3.75</v>
      </c>
    </row>
    <row r="14" customFormat="false" ht="15.75" hidden="false" customHeight="true" outlineLevel="0" collapsed="false">
      <c r="A14" s="6" t="s">
        <v>61</v>
      </c>
      <c r="B14" s="24" t="n">
        <v>2</v>
      </c>
      <c r="C14" s="24" t="n">
        <v>12</v>
      </c>
    </row>
    <row r="17" customFormat="false" ht="15" hidden="false" customHeight="true" outlineLevel="0" collapsed="false">
      <c r="A17" s="13" t="s">
        <v>62</v>
      </c>
    </row>
    <row r="18" customFormat="false" ht="18" hidden="false" customHeight="true" outlineLevel="0" collapsed="false">
      <c r="A18" s="23" t="s">
        <v>56</v>
      </c>
      <c r="B18" s="16" t="s">
        <v>49</v>
      </c>
      <c r="C18" s="16" t="s">
        <v>50</v>
      </c>
      <c r="D18" s="16" t="s">
        <v>51</v>
      </c>
    </row>
    <row r="19" customFormat="false" ht="15.75" hidden="false" customHeight="true" outlineLevel="0" collapsed="false">
      <c r="A19" s="6" t="s">
        <v>59</v>
      </c>
      <c r="B19" s="25" t="n">
        <f aca="false">B$6*B$7/1000000*$B$12+B$6*B$8/1000000*$C$12</f>
        <v>0.9</v>
      </c>
      <c r="C19" s="25" t="n">
        <f aca="false">C$6*C$7/1000000*$B$12+C$6*C$8/1000000*$C$12</f>
        <v>5.85</v>
      </c>
      <c r="D19" s="25" t="n">
        <f aca="false">D$6*D$7/1000000*$B$12+D$6*D$8/1000000*$C$12</f>
        <v>33.75</v>
      </c>
    </row>
    <row r="20" customFormat="false" ht="15.75" hidden="false" customHeight="true" outlineLevel="0" collapsed="false">
      <c r="A20" s="6" t="s">
        <v>60</v>
      </c>
      <c r="B20" s="25" t="n">
        <f aca="false">B$6*B$7/1000000*$B$13+B$6*B$8/1000000*$C$13</f>
        <v>2.55</v>
      </c>
      <c r="C20" s="25" t="n">
        <f aca="false">C$6*C$7/1000000*$B$13+C$6*C$8/1000000*$C$13</f>
        <v>16.575</v>
      </c>
      <c r="D20" s="25" t="n">
        <f aca="false">D$6*D$7/1000000*$B$13+D$6*D$8/1000000*$C$13</f>
        <v>95.625</v>
      </c>
    </row>
    <row r="21" customFormat="false" ht="15.75" hidden="false" customHeight="true" outlineLevel="0" collapsed="false">
      <c r="A21" s="6" t="s">
        <v>61</v>
      </c>
      <c r="B21" s="25" t="n">
        <f aca="false">B$6*B$7/1000000*$B$14+B$6*B$8/1000000*$C$14</f>
        <v>7.2</v>
      </c>
      <c r="C21" s="25" t="n">
        <f aca="false">C$6*C$7/1000000*$B$14+C$6*C$8/1000000*$C$14</f>
        <v>46.8</v>
      </c>
      <c r="D21" s="25" t="n">
        <f aca="false">D$6*D$7/1000000*$B$14+D$6*D$8/1000000*$C$14</f>
        <v>270</v>
      </c>
    </row>
    <row r="23" customFormat="false" ht="15" hidden="false" customHeight="true" outlineLevel="0" collapsed="false">
      <c r="A23" s="3" t="s">
        <v>63</v>
      </c>
      <c r="B23" s="3"/>
      <c r="C23" s="3"/>
      <c r="D23" s="3"/>
    </row>
    <row r="24" customFormat="false" ht="15" hidden="false" customHeight="true" outlineLevel="0" collapsed="false">
      <c r="A24" s="3" t="s">
        <v>64</v>
      </c>
      <c r="B24" s="3"/>
      <c r="C24" s="3"/>
      <c r="D24" s="3"/>
    </row>
    <row r="25" customFormat="false" ht="15" hidden="false" customHeight="true" outlineLevel="0" collapsed="false">
      <c r="A25" s="3" t="s">
        <v>65</v>
      </c>
      <c r="B25" s="3"/>
      <c r="C25" s="3"/>
      <c r="D25" s="3"/>
    </row>
  </sheetData>
  <mergeCells count="5">
    <mergeCell ref="A1:E1"/>
    <mergeCell ref="A2:E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2026-09-11T04:35:07Z</dcterms:created>
  <dc:creator>openpyxl</dc:creator>
  <dc:description/>
  <dc:language>en-US</dc:language>
  <cp:lastModifiedBy/>
  <dcterms:modified xsi:type="dcterms:W3CDTF">2026-09-11T05:00:11Z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